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75" windowWidth="18135" windowHeight="83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7" i="1"/>
  <c r="J8"/>
  <c r="J9"/>
  <c r="J10"/>
  <c r="C7"/>
  <c r="C8"/>
  <c r="C9"/>
  <c r="C10"/>
  <c r="C6"/>
  <c r="D6"/>
  <c r="D7" s="1"/>
  <c r="D8" s="1"/>
  <c r="D9" s="1"/>
  <c r="D10" s="1"/>
  <c r="Q6"/>
  <c r="Q7"/>
  <c r="Q8"/>
  <c r="Q9"/>
  <c r="Q10"/>
  <c r="Q5"/>
  <c r="AD16"/>
  <c r="I6"/>
  <c r="J6"/>
  <c r="I7"/>
  <c r="I8"/>
  <c r="I9"/>
  <c r="I10"/>
  <c r="J5"/>
  <c r="I5"/>
  <c r="B6"/>
  <c r="E6" s="1"/>
  <c r="H6" s="1"/>
  <c r="B7"/>
  <c r="E7" s="1"/>
  <c r="H7" s="1"/>
  <c r="B8"/>
  <c r="E8" s="1"/>
  <c r="H8" s="1"/>
  <c r="B9"/>
  <c r="E9" s="1"/>
  <c r="H9" s="1"/>
  <c r="E10"/>
  <c r="H10" s="1"/>
  <c r="B5"/>
  <c r="C5" s="1"/>
  <c r="S5"/>
  <c r="U5"/>
  <c r="W5"/>
  <c r="S6"/>
  <c r="U6"/>
  <c r="W6"/>
  <c r="S7"/>
  <c r="U7"/>
  <c r="W7"/>
  <c r="S8"/>
  <c r="U8"/>
  <c r="W8"/>
  <c r="S9"/>
  <c r="U9"/>
  <c r="W9"/>
  <c r="S10"/>
  <c r="U10"/>
  <c r="W10"/>
  <c r="O6"/>
  <c r="O7"/>
  <c r="O8"/>
  <c r="O9"/>
  <c r="O10"/>
  <c r="O5"/>
  <c r="E5" l="1"/>
  <c r="H5" s="1"/>
  <c r="G10"/>
  <c r="AA10"/>
  <c r="G9"/>
  <c r="AA9"/>
  <c r="G8"/>
  <c r="AA8"/>
  <c r="G7"/>
  <c r="AA7"/>
  <c r="G6"/>
  <c r="AA6"/>
  <c r="G5"/>
  <c r="AA5"/>
  <c r="F5"/>
  <c r="F10"/>
  <c r="F9"/>
  <c r="F8"/>
  <c r="F7"/>
  <c r="F6"/>
  <c r="K10"/>
  <c r="L10" s="1"/>
  <c r="K9"/>
  <c r="L9" s="1"/>
  <c r="K8"/>
  <c r="L8" s="1"/>
  <c r="K7"/>
  <c r="L7" s="1"/>
  <c r="K6"/>
  <c r="L6" s="1"/>
  <c r="X6" l="1"/>
  <c r="V6"/>
  <c r="T6"/>
  <c r="R6"/>
  <c r="P6"/>
  <c r="X7"/>
  <c r="V7"/>
  <c r="T7"/>
  <c r="R7"/>
  <c r="P7"/>
  <c r="X8"/>
  <c r="V8"/>
  <c r="T8"/>
  <c r="R8"/>
  <c r="P8"/>
  <c r="X9"/>
  <c r="V9"/>
  <c r="T9"/>
  <c r="R9"/>
  <c r="P9"/>
  <c r="X10"/>
  <c r="V10"/>
  <c r="T10"/>
  <c r="R10"/>
  <c r="P10"/>
  <c r="K5"/>
  <c r="L5" s="1"/>
  <c r="X5" l="1"/>
  <c r="V5"/>
  <c r="T5"/>
  <c r="R5"/>
  <c r="P5"/>
</calcChain>
</file>

<file path=xl/sharedStrings.xml><?xml version="1.0" encoding="utf-8"?>
<sst xmlns="http://schemas.openxmlformats.org/spreadsheetml/2006/main" count="42" uniqueCount="32">
  <si>
    <t>关卡</t>
    <phoneticPr fontId="1" type="noConversion"/>
  </si>
  <si>
    <t>距离</t>
    <phoneticPr fontId="1" type="noConversion"/>
  </si>
  <si>
    <t>敌人数</t>
    <phoneticPr fontId="1" type="noConversion"/>
  </si>
  <si>
    <t>折算金币数</t>
    <phoneticPr fontId="1" type="noConversion"/>
  </si>
  <si>
    <t>距离/金币</t>
    <phoneticPr fontId="1" type="noConversion"/>
  </si>
  <si>
    <t>敌人/金币</t>
    <phoneticPr fontId="1" type="noConversion"/>
  </si>
  <si>
    <t>等级</t>
    <phoneticPr fontId="1" type="noConversion"/>
  </si>
  <si>
    <t>HP</t>
    <phoneticPr fontId="1" type="noConversion"/>
  </si>
  <si>
    <t>防御</t>
    <phoneticPr fontId="1" type="noConversion"/>
  </si>
  <si>
    <t>速度</t>
    <phoneticPr fontId="1" type="noConversion"/>
  </si>
  <si>
    <t>体力</t>
    <phoneticPr fontId="1" type="noConversion"/>
  </si>
  <si>
    <t>回复量</t>
    <phoneticPr fontId="1" type="noConversion"/>
  </si>
  <si>
    <t>基础值</t>
    <phoneticPr fontId="1" type="noConversion"/>
  </si>
  <si>
    <t>增量</t>
    <phoneticPr fontId="1" type="noConversion"/>
  </si>
  <si>
    <t>攻击力</t>
    <phoneticPr fontId="1" type="noConversion"/>
  </si>
  <si>
    <t>攻击</t>
    <phoneticPr fontId="1" type="noConversion"/>
  </si>
  <si>
    <t>平均承受击打</t>
    <phoneticPr fontId="1" type="noConversion"/>
  </si>
  <si>
    <t>抗击打次数</t>
    <phoneticPr fontId="1" type="noConversion"/>
  </si>
  <si>
    <t>战斗力</t>
    <phoneticPr fontId="1" type="noConversion"/>
  </si>
  <si>
    <t>攻击次数</t>
    <phoneticPr fontId="1" type="noConversion"/>
  </si>
  <si>
    <t>游戏时间</t>
    <phoneticPr fontId="1" type="noConversion"/>
  </si>
  <si>
    <t>FPS</t>
    <phoneticPr fontId="1" type="noConversion"/>
  </si>
  <si>
    <t>累积距离</t>
    <phoneticPr fontId="1" type="noConversion"/>
  </si>
  <si>
    <t>速度/距离</t>
    <phoneticPr fontId="1" type="noConversion"/>
  </si>
  <si>
    <t>敌人/距离</t>
    <phoneticPr fontId="1" type="noConversion"/>
  </si>
  <si>
    <t>挑战次数</t>
    <phoneticPr fontId="1" type="noConversion"/>
  </si>
  <si>
    <t>金币累计</t>
    <phoneticPr fontId="1" type="noConversion"/>
  </si>
  <si>
    <t>价格</t>
    <phoneticPr fontId="1" type="noConversion"/>
  </si>
  <si>
    <t>总计</t>
    <phoneticPr fontId="1" type="noConversion"/>
  </si>
  <si>
    <t>体力消耗</t>
    <phoneticPr fontId="1" type="noConversion"/>
  </si>
  <si>
    <t>回复体力</t>
    <phoneticPr fontId="1" type="noConversion"/>
  </si>
  <si>
    <t>体力掉落概率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</si>
</sst>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5F5F5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topLeftCell="P1" zoomScale="115" zoomScaleNormal="115" workbookViewId="0">
      <selection activeCell="J4" sqref="J4"/>
    </sheetView>
  </sheetViews>
  <sheetFormatPr defaultRowHeight="13.5"/>
  <sheetData>
    <row r="1" spans="1:30">
      <c r="AC1" t="s">
        <v>31</v>
      </c>
      <c r="AD1">
        <v>0.1</v>
      </c>
    </row>
    <row r="2" spans="1:30">
      <c r="B2">
        <v>96</v>
      </c>
      <c r="I2">
        <v>0</v>
      </c>
      <c r="J2">
        <v>5</v>
      </c>
      <c r="N2" t="s">
        <v>12</v>
      </c>
      <c r="O2">
        <v>30</v>
      </c>
      <c r="Q2">
        <v>500</v>
      </c>
      <c r="S2">
        <v>10</v>
      </c>
      <c r="U2">
        <v>0</v>
      </c>
      <c r="W2">
        <v>128</v>
      </c>
      <c r="AC2" t="s">
        <v>30</v>
      </c>
      <c r="AD2">
        <v>100</v>
      </c>
    </row>
    <row r="3" spans="1:30">
      <c r="B3">
        <v>32</v>
      </c>
      <c r="I3">
        <v>30</v>
      </c>
      <c r="J3">
        <v>1</v>
      </c>
      <c r="N3" t="s">
        <v>13</v>
      </c>
      <c r="O3">
        <v>10</v>
      </c>
      <c r="Q3">
        <v>1000</v>
      </c>
      <c r="S3">
        <v>5</v>
      </c>
      <c r="U3">
        <v>5</v>
      </c>
      <c r="W3">
        <v>16</v>
      </c>
      <c r="AC3" t="s">
        <v>29</v>
      </c>
      <c r="AD3">
        <v>1</v>
      </c>
    </row>
    <row r="4" spans="1:30">
      <c r="A4" t="s">
        <v>0</v>
      </c>
      <c r="B4" t="s">
        <v>9</v>
      </c>
      <c r="C4" t="s">
        <v>1</v>
      </c>
      <c r="D4" t="s">
        <v>22</v>
      </c>
      <c r="E4" t="s">
        <v>2</v>
      </c>
      <c r="F4" t="s">
        <v>7</v>
      </c>
      <c r="G4" t="s">
        <v>14</v>
      </c>
      <c r="H4" t="s">
        <v>11</v>
      </c>
      <c r="I4" t="s">
        <v>20</v>
      </c>
      <c r="J4" t="s">
        <v>25</v>
      </c>
      <c r="K4" t="s">
        <v>3</v>
      </c>
      <c r="L4" t="s">
        <v>26</v>
      </c>
      <c r="N4" t="s">
        <v>6</v>
      </c>
      <c r="O4" t="s">
        <v>7</v>
      </c>
      <c r="P4" t="s">
        <v>27</v>
      </c>
      <c r="Q4" t="s">
        <v>10</v>
      </c>
      <c r="R4" t="s">
        <v>27</v>
      </c>
      <c r="S4" t="s">
        <v>15</v>
      </c>
      <c r="T4" t="s">
        <v>27</v>
      </c>
      <c r="U4" t="s">
        <v>8</v>
      </c>
      <c r="V4" t="s">
        <v>27</v>
      </c>
      <c r="W4" t="s">
        <v>9</v>
      </c>
      <c r="Y4" t="s">
        <v>19</v>
      </c>
      <c r="Z4" t="s">
        <v>17</v>
      </c>
      <c r="AA4" t="s">
        <v>18</v>
      </c>
      <c r="AC4" t="s">
        <v>4</v>
      </c>
      <c r="AD4">
        <v>3</v>
      </c>
    </row>
    <row r="5" spans="1:30">
      <c r="A5">
        <v>0</v>
      </c>
      <c r="B5">
        <f>B$2+B$3*$A5</f>
        <v>96</v>
      </c>
      <c r="C5">
        <f t="shared" ref="C5" si="0">INT((B5*I5)/$AD$8)</f>
        <v>0</v>
      </c>
      <c r="E5">
        <f>C5*$AD$9</f>
        <v>0</v>
      </c>
      <c r="F5">
        <f>S5*Y5</f>
        <v>10</v>
      </c>
      <c r="G5">
        <f>CEILING(O5/Z5+U5,1)</f>
        <v>8</v>
      </c>
      <c r="H5">
        <f>E5*$AD$2*$AD$1</f>
        <v>0</v>
      </c>
      <c r="I5">
        <f t="shared" ref="I5:J10" si="1">I$2+I$3*$A5</f>
        <v>0</v>
      </c>
      <c r="J5">
        <f t="shared" si="1"/>
        <v>5</v>
      </c>
      <c r="K5">
        <f>D5*$AD$4+E5*$AD$5</f>
        <v>0</v>
      </c>
      <c r="L5">
        <f>K5*J5</f>
        <v>0</v>
      </c>
      <c r="N5">
        <v>0</v>
      </c>
      <c r="O5">
        <f t="shared" ref="O5:O10" si="2">O$2+O$3*$N5</f>
        <v>30</v>
      </c>
      <c r="P5">
        <f>CEILING(L5*($AD$11/$AD$16),50)</f>
        <v>0</v>
      </c>
      <c r="Q5">
        <f>Q$2+Q$3*$N5</f>
        <v>500</v>
      </c>
      <c r="R5">
        <f>CEILING(L5*$AD$12/$AD$16,50)</f>
        <v>0</v>
      </c>
      <c r="S5">
        <f t="shared" ref="S5:S10" si="3">S$2+S$3*$N5</f>
        <v>10</v>
      </c>
      <c r="T5">
        <f>CEILING(L5*$AD$13/$AD$16,50)</f>
        <v>0</v>
      </c>
      <c r="U5">
        <f t="shared" ref="U5:U10" si="4">U$2+U$3*$N5</f>
        <v>0</v>
      </c>
      <c r="V5">
        <f>CEILING(L5*$AD$14/$AD$16,50)</f>
        <v>0</v>
      </c>
      <c r="W5">
        <f t="shared" ref="W5:W10" si="5">W$2+W$3*$N5</f>
        <v>128</v>
      </c>
      <c r="X5">
        <f>CEILING(L5*$AD$15/$AD$16,50)</f>
        <v>0</v>
      </c>
      <c r="Y5">
        <v>1</v>
      </c>
      <c r="Z5">
        <v>4</v>
      </c>
      <c r="AA5">
        <f>(S5-U5)*O5</f>
        <v>300</v>
      </c>
      <c r="AC5" t="s">
        <v>5</v>
      </c>
      <c r="AD5">
        <v>1</v>
      </c>
    </row>
    <row r="6" spans="1:30">
      <c r="A6">
        <v>1</v>
      </c>
      <c r="B6">
        <f t="shared" ref="B6:B9" si="6">B$2+B$3*$A6</f>
        <v>128</v>
      </c>
      <c r="C6">
        <f>FLOOR((B6*I6)/$AD$8,100)</f>
        <v>100</v>
      </c>
      <c r="D6">
        <f>D5+C6</f>
        <v>100</v>
      </c>
      <c r="E6">
        <f t="shared" ref="E6:E10" si="7">C6*$AD$9</f>
        <v>50</v>
      </c>
      <c r="F6">
        <f t="shared" ref="F6:F10" si="8">S6*Y6</f>
        <v>15</v>
      </c>
      <c r="G6">
        <f t="shared" ref="G6:G10" si="9">CEILING(O6/Z6+U6,1)</f>
        <v>15</v>
      </c>
      <c r="H6">
        <f t="shared" ref="H6:H10" si="10">E6*$AD$2*$AD$1</f>
        <v>500</v>
      </c>
      <c r="I6">
        <f t="shared" si="1"/>
        <v>30</v>
      </c>
      <c r="J6">
        <f t="shared" si="1"/>
        <v>6</v>
      </c>
      <c r="K6">
        <f t="shared" ref="K6:K10" si="11">D6*$AD$4+E6*$AD$5</f>
        <v>350</v>
      </c>
      <c r="L6">
        <f t="shared" ref="L6:L10" si="12">K6*J6</f>
        <v>2100</v>
      </c>
      <c r="N6">
        <v>1</v>
      </c>
      <c r="O6">
        <f t="shared" si="2"/>
        <v>40</v>
      </c>
      <c r="P6">
        <f t="shared" ref="P6:P10" si="13">CEILING(L6*($AD$11/$AD$16),50)</f>
        <v>450</v>
      </c>
      <c r="Q6">
        <f t="shared" ref="Q6:Q10" si="14">Q$2+Q$3*$N6</f>
        <v>1500</v>
      </c>
      <c r="R6">
        <f t="shared" ref="R6:R10" si="15">CEILING(L6*$AD$12/$AD$16,50)</f>
        <v>600</v>
      </c>
      <c r="S6">
        <f t="shared" si="3"/>
        <v>15</v>
      </c>
      <c r="T6">
        <f t="shared" ref="T6:T10" si="16">CEILING(L6*$AD$13/$AD$16,50)</f>
        <v>500</v>
      </c>
      <c r="U6">
        <f t="shared" si="4"/>
        <v>5</v>
      </c>
      <c r="V6">
        <f t="shared" ref="V6:V10" si="17">CEILING(L6*$AD$14/$AD$16,50)</f>
        <v>300</v>
      </c>
      <c r="W6">
        <f t="shared" si="5"/>
        <v>144</v>
      </c>
      <c r="X6">
        <f t="shared" ref="X6:X10" si="18">CEILING(L6*$AD$15/$AD$16,50)</f>
        <v>350</v>
      </c>
      <c r="Y6">
        <v>1</v>
      </c>
      <c r="Z6">
        <v>4</v>
      </c>
      <c r="AA6">
        <f t="shared" ref="AA6:AA10" si="19">(S6-U6)*O6</f>
        <v>400</v>
      </c>
      <c r="AC6" t="s">
        <v>16</v>
      </c>
      <c r="AD6">
        <v>3</v>
      </c>
    </row>
    <row r="7" spans="1:30">
      <c r="A7">
        <v>2</v>
      </c>
      <c r="B7">
        <f t="shared" si="6"/>
        <v>160</v>
      </c>
      <c r="C7">
        <f t="shared" ref="C7:C10" si="20">FLOOR((B7*I7)/$AD$8,100)</f>
        <v>300</v>
      </c>
      <c r="D7">
        <f t="shared" ref="D7:D10" si="21">D6+C7</f>
        <v>400</v>
      </c>
      <c r="E7">
        <f t="shared" si="7"/>
        <v>150</v>
      </c>
      <c r="F7">
        <f t="shared" si="8"/>
        <v>20</v>
      </c>
      <c r="G7">
        <f t="shared" si="9"/>
        <v>23</v>
      </c>
      <c r="H7">
        <f t="shared" si="10"/>
        <v>1500</v>
      </c>
      <c r="I7">
        <f t="shared" si="1"/>
        <v>60</v>
      </c>
      <c r="J7">
        <f t="shared" si="1"/>
        <v>7</v>
      </c>
      <c r="K7">
        <f t="shared" si="11"/>
        <v>1350</v>
      </c>
      <c r="L7">
        <f t="shared" si="12"/>
        <v>9450</v>
      </c>
      <c r="N7">
        <v>2</v>
      </c>
      <c r="O7">
        <f t="shared" si="2"/>
        <v>50</v>
      </c>
      <c r="P7">
        <f t="shared" si="13"/>
        <v>1900</v>
      </c>
      <c r="Q7">
        <f t="shared" si="14"/>
        <v>2500</v>
      </c>
      <c r="R7">
        <f t="shared" si="15"/>
        <v>2550</v>
      </c>
      <c r="S7">
        <f t="shared" si="3"/>
        <v>20</v>
      </c>
      <c r="T7">
        <f t="shared" si="16"/>
        <v>2250</v>
      </c>
      <c r="U7">
        <f t="shared" si="4"/>
        <v>10</v>
      </c>
      <c r="V7">
        <f t="shared" si="17"/>
        <v>1300</v>
      </c>
      <c r="W7">
        <f t="shared" si="5"/>
        <v>160</v>
      </c>
      <c r="X7">
        <f t="shared" si="18"/>
        <v>1600</v>
      </c>
      <c r="Y7">
        <v>1</v>
      </c>
      <c r="Z7">
        <v>4</v>
      </c>
      <c r="AA7">
        <f t="shared" si="19"/>
        <v>500</v>
      </c>
      <c r="AC7" t="s">
        <v>21</v>
      </c>
      <c r="AD7">
        <v>30</v>
      </c>
    </row>
    <row r="8" spans="1:30">
      <c r="A8">
        <v>3</v>
      </c>
      <c r="B8">
        <f t="shared" si="6"/>
        <v>192</v>
      </c>
      <c r="C8">
        <f t="shared" si="20"/>
        <v>500</v>
      </c>
      <c r="D8">
        <f t="shared" si="21"/>
        <v>900</v>
      </c>
      <c r="E8">
        <f t="shared" si="7"/>
        <v>250</v>
      </c>
      <c r="F8">
        <f t="shared" si="8"/>
        <v>25</v>
      </c>
      <c r="G8">
        <f t="shared" si="9"/>
        <v>30</v>
      </c>
      <c r="H8">
        <f t="shared" si="10"/>
        <v>2500</v>
      </c>
      <c r="I8">
        <f t="shared" si="1"/>
        <v>90</v>
      </c>
      <c r="J8">
        <f t="shared" si="1"/>
        <v>8</v>
      </c>
      <c r="K8">
        <f t="shared" si="11"/>
        <v>2950</v>
      </c>
      <c r="L8">
        <f t="shared" si="12"/>
        <v>23600</v>
      </c>
      <c r="N8">
        <v>3</v>
      </c>
      <c r="O8">
        <f t="shared" si="2"/>
        <v>60</v>
      </c>
      <c r="P8">
        <f t="shared" si="13"/>
        <v>4750</v>
      </c>
      <c r="Q8">
        <f t="shared" si="14"/>
        <v>3500</v>
      </c>
      <c r="R8">
        <f t="shared" si="15"/>
        <v>6300</v>
      </c>
      <c r="S8">
        <f t="shared" si="3"/>
        <v>25</v>
      </c>
      <c r="T8">
        <f t="shared" si="16"/>
        <v>5550</v>
      </c>
      <c r="U8">
        <f t="shared" si="4"/>
        <v>15</v>
      </c>
      <c r="V8">
        <f t="shared" si="17"/>
        <v>3150</v>
      </c>
      <c r="W8">
        <f t="shared" si="5"/>
        <v>176</v>
      </c>
      <c r="X8">
        <f t="shared" si="18"/>
        <v>3950</v>
      </c>
      <c r="Y8">
        <v>1</v>
      </c>
      <c r="Z8">
        <v>4</v>
      </c>
      <c r="AA8">
        <f t="shared" si="19"/>
        <v>600</v>
      </c>
      <c r="AC8" t="s">
        <v>23</v>
      </c>
      <c r="AD8">
        <v>30</v>
      </c>
    </row>
    <row r="9" spans="1:30">
      <c r="A9">
        <v>4</v>
      </c>
      <c r="B9">
        <f t="shared" si="6"/>
        <v>224</v>
      </c>
      <c r="C9">
        <f t="shared" si="20"/>
        <v>800</v>
      </c>
      <c r="D9">
        <f t="shared" si="21"/>
        <v>1700</v>
      </c>
      <c r="E9">
        <f t="shared" si="7"/>
        <v>400</v>
      </c>
      <c r="F9">
        <f t="shared" si="8"/>
        <v>30</v>
      </c>
      <c r="G9">
        <f t="shared" si="9"/>
        <v>44</v>
      </c>
      <c r="H9">
        <f t="shared" si="10"/>
        <v>4000</v>
      </c>
      <c r="I9">
        <f t="shared" si="1"/>
        <v>120</v>
      </c>
      <c r="J9">
        <f t="shared" si="1"/>
        <v>9</v>
      </c>
      <c r="K9">
        <f t="shared" si="11"/>
        <v>5500</v>
      </c>
      <c r="L9">
        <f t="shared" si="12"/>
        <v>49500</v>
      </c>
      <c r="N9">
        <v>4</v>
      </c>
      <c r="O9">
        <f t="shared" si="2"/>
        <v>70</v>
      </c>
      <c r="P9">
        <f t="shared" si="13"/>
        <v>9900</v>
      </c>
      <c r="Q9">
        <f t="shared" si="14"/>
        <v>4500</v>
      </c>
      <c r="R9">
        <f t="shared" si="15"/>
        <v>13200</v>
      </c>
      <c r="S9">
        <f t="shared" si="3"/>
        <v>30</v>
      </c>
      <c r="T9">
        <f t="shared" si="16"/>
        <v>11550</v>
      </c>
      <c r="U9">
        <f t="shared" si="4"/>
        <v>20</v>
      </c>
      <c r="V9">
        <f t="shared" si="17"/>
        <v>6600</v>
      </c>
      <c r="W9">
        <f t="shared" si="5"/>
        <v>192</v>
      </c>
      <c r="X9">
        <f t="shared" si="18"/>
        <v>8250</v>
      </c>
      <c r="Y9">
        <v>1</v>
      </c>
      <c r="Z9">
        <v>3</v>
      </c>
      <c r="AA9">
        <f t="shared" si="19"/>
        <v>700</v>
      </c>
      <c r="AC9" t="s">
        <v>24</v>
      </c>
      <c r="AD9">
        <v>0.5</v>
      </c>
    </row>
    <row r="10" spans="1:30">
      <c r="A10">
        <v>5</v>
      </c>
      <c r="B10">
        <v>224</v>
      </c>
      <c r="C10">
        <f t="shared" si="20"/>
        <v>1100</v>
      </c>
      <c r="D10">
        <f t="shared" si="21"/>
        <v>2800</v>
      </c>
      <c r="E10">
        <f t="shared" si="7"/>
        <v>550</v>
      </c>
      <c r="F10">
        <f t="shared" si="8"/>
        <v>35</v>
      </c>
      <c r="G10">
        <f t="shared" si="9"/>
        <v>52</v>
      </c>
      <c r="H10">
        <f t="shared" si="10"/>
        <v>5500</v>
      </c>
      <c r="I10">
        <f t="shared" si="1"/>
        <v>150</v>
      </c>
      <c r="J10">
        <f t="shared" si="1"/>
        <v>10</v>
      </c>
      <c r="K10">
        <f t="shared" si="11"/>
        <v>8950</v>
      </c>
      <c r="L10">
        <f t="shared" si="12"/>
        <v>89500</v>
      </c>
      <c r="N10">
        <v>5</v>
      </c>
      <c r="O10">
        <f t="shared" si="2"/>
        <v>80</v>
      </c>
      <c r="P10">
        <f t="shared" si="13"/>
        <v>17900</v>
      </c>
      <c r="Q10">
        <f t="shared" si="14"/>
        <v>5500</v>
      </c>
      <c r="R10">
        <f t="shared" si="15"/>
        <v>23900</v>
      </c>
      <c r="S10">
        <f t="shared" si="3"/>
        <v>35</v>
      </c>
      <c r="T10">
        <f t="shared" si="16"/>
        <v>20900</v>
      </c>
      <c r="U10">
        <f t="shared" si="4"/>
        <v>25</v>
      </c>
      <c r="V10">
        <f t="shared" si="17"/>
        <v>11950</v>
      </c>
      <c r="W10">
        <f t="shared" si="5"/>
        <v>208</v>
      </c>
      <c r="X10">
        <f t="shared" si="18"/>
        <v>14950</v>
      </c>
      <c r="Y10">
        <v>1</v>
      </c>
      <c r="Z10">
        <v>3</v>
      </c>
      <c r="AA10">
        <f t="shared" si="19"/>
        <v>800</v>
      </c>
    </row>
    <row r="11" spans="1:30">
      <c r="AC11" t="s">
        <v>7</v>
      </c>
      <c r="AD11">
        <v>3</v>
      </c>
    </row>
    <row r="12" spans="1:30">
      <c r="AC12" t="s">
        <v>10</v>
      </c>
      <c r="AD12">
        <v>4</v>
      </c>
    </row>
    <row r="13" spans="1:30">
      <c r="AC13" t="s">
        <v>15</v>
      </c>
      <c r="AD13">
        <v>3.5</v>
      </c>
    </row>
    <row r="14" spans="1:30">
      <c r="AC14" t="s">
        <v>8</v>
      </c>
      <c r="AD14">
        <v>2</v>
      </c>
    </row>
    <row r="15" spans="1:30">
      <c r="AC15" t="s">
        <v>9</v>
      </c>
      <c r="AD15">
        <v>2.5</v>
      </c>
    </row>
    <row r="16" spans="1:30">
      <c r="AC16" t="s">
        <v>28</v>
      </c>
      <c r="AD16">
        <f>SUM(AD11:AD15)</f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island</cp:lastModifiedBy>
  <dcterms:created xsi:type="dcterms:W3CDTF">2014-05-02T10:40:05Z</dcterms:created>
  <dcterms:modified xsi:type="dcterms:W3CDTF">2014-06-01T06:33:21Z</dcterms:modified>
</cp:coreProperties>
</file>